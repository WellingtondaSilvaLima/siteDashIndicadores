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ellington.lima\Documents\projetos\dashIndicadores\"/>
    </mc:Choice>
  </mc:AlternateContent>
  <xr:revisionPtr revIDLastSave="0" documentId="13_ncr:1_{9BAC797D-6495-48C5-B635-AFD1D9347A05}" xr6:coauthVersionLast="47" xr6:coauthVersionMax="47" xr10:uidLastSave="{00000000-0000-0000-0000-000000000000}"/>
  <bookViews>
    <workbookView xWindow="-20610" yWindow="-120" windowWidth="20730" windowHeight="110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I3" i="1" l="1"/>
  <c r="I4" i="1"/>
  <c r="I5" i="1"/>
  <c r="I2" i="1"/>
  <c r="H3" i="1"/>
  <c r="H4" i="1"/>
  <c r="H5" i="1"/>
  <c r="H2" i="1"/>
</calcChain>
</file>

<file path=xl/sharedStrings.xml><?xml version="1.0" encoding="utf-8"?>
<sst xmlns="http://schemas.openxmlformats.org/spreadsheetml/2006/main" count="17" uniqueCount="15">
  <si>
    <t>Automação</t>
  </si>
  <si>
    <t>Desenvolvedor</t>
  </si>
  <si>
    <t>Dias Desenvolvimento</t>
  </si>
  <si>
    <t>Horas Economizadas</t>
  </si>
  <si>
    <t>Economia (%)</t>
  </si>
  <si>
    <t>Conciliação CDC Honda</t>
  </si>
  <si>
    <t>Baixa de Arquivos CNH Honda</t>
  </si>
  <si>
    <t>Solicitação de Carga CNH Honda</t>
  </si>
  <si>
    <t>Conciliação Financiamento Banco PAN</t>
  </si>
  <si>
    <t>Wellington Lima</t>
  </si>
  <si>
    <t>Lucas Lima</t>
  </si>
  <si>
    <t>Data de Início</t>
  </si>
  <si>
    <t>Data da Entrega</t>
  </si>
  <si>
    <t>Horas Manuais</t>
  </si>
  <si>
    <t>Horas Robô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</si>
</sst>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"/>
  <sheetViews>
    <sheetView tabSelected="1" workbookViewId="0">
      <selection activeCell="I8" sqref="I8"/>
    </sheetView>
  </sheetViews>
  <sheetFormatPr defaultColWidth="9" defaultRowHeight="14.4" x14ac:dyDescent="0.3"/>
  <cols>
    <col min="1" max="1" width="34.44140625" bestFit="1" customWidth="1"/>
    <col min="2" max="2" width="15.109375" bestFit="1" customWidth="1"/>
    <col min="3" max="4" width="15.109375" customWidth="1"/>
    <col min="5" max="5" width="20.5546875" bestFit="1" customWidth="1"/>
    <col min="6" max="7" width="20.5546875" customWidth="1"/>
    <col min="8" max="8" width="18.5546875" bestFit="1" customWidth="1"/>
    <col min="9" max="9" width="12.77734375" bestFit="1" customWidth="1"/>
  </cols>
  <sheetData>
    <row r="1" spans="1:9" x14ac:dyDescent="0.3">
      <c r="A1" s="1" t="s">
        <v>0</v>
      </c>
      <c r="B1" s="1" t="s">
        <v>1</v>
      </c>
      <c r="C1" s="1" t="s">
        <v>11</v>
      </c>
      <c r="D1" s="1" t="s">
        <v>12</v>
      </c>
      <c r="E1" s="1" t="s">
        <v>2</v>
      </c>
      <c r="F1" s="1" t="s">
        <v>13</v>
      </c>
      <c r="G1" s="1" t="s">
        <v>14</v>
      </c>
      <c r="H1" s="1" t="s">
        <v>3</v>
      </c>
      <c r="I1" s="1" t="s">
        <v>4</v>
      </c>
    </row>
    <row r="2" spans="1:9" x14ac:dyDescent="0.3">
      <c r="A2" t="s">
        <v>5</v>
      </c>
      <c r="B2" t="s">
        <v>9</v>
      </c>
      <c r="C2" s="2">
        <v>45908</v>
      </c>
      <c r="D2" s="2">
        <v>45952</v>
      </c>
      <c r="E2">
        <v>44</v>
      </c>
      <c r="F2">
        <v>1.5</v>
      </c>
      <c r="G2">
        <v>0.27</v>
      </c>
      <c r="H2" s="3">
        <f>F2-G2</f>
        <v>1.23</v>
      </c>
      <c r="I2" s="3">
        <f>(H2*100)/F2</f>
        <v>82</v>
      </c>
    </row>
    <row r="3" spans="1:9" x14ac:dyDescent="0.3">
      <c r="A3" t="s">
        <v>6</v>
      </c>
      <c r="B3" t="s">
        <v>9</v>
      </c>
      <c r="C3" s="2">
        <v>45929</v>
      </c>
      <c r="D3" s="2">
        <v>45952</v>
      </c>
      <c r="E3">
        <v>23</v>
      </c>
      <c r="F3">
        <v>2</v>
      </c>
      <c r="G3">
        <v>0.9</v>
      </c>
      <c r="H3" s="3">
        <f t="shared" ref="H3:H5" si="0">F3-G3</f>
        <v>1.1000000000000001</v>
      </c>
      <c r="I3" s="3">
        <f t="shared" ref="I3:I5" si="1">(H3*100)/F3</f>
        <v>55.000000000000007</v>
      </c>
    </row>
    <row r="4" spans="1:9" x14ac:dyDescent="0.3">
      <c r="A4" t="s">
        <v>7</v>
      </c>
      <c r="B4" t="s">
        <v>9</v>
      </c>
      <c r="C4" s="2">
        <v>45929</v>
      </c>
      <c r="D4" s="2">
        <v>45952</v>
      </c>
      <c r="E4">
        <v>23</v>
      </c>
      <c r="F4">
        <v>1.7</v>
      </c>
      <c r="G4">
        <v>0.6</v>
      </c>
      <c r="H4" s="3">
        <f t="shared" si="0"/>
        <v>1.1000000000000001</v>
      </c>
      <c r="I4" s="3">
        <f t="shared" si="1"/>
        <v>64.705882352941188</v>
      </c>
    </row>
    <row r="5" spans="1:9" x14ac:dyDescent="0.3">
      <c r="A5" t="s">
        <v>8</v>
      </c>
      <c r="B5" t="s">
        <v>10</v>
      </c>
      <c r="C5" s="2">
        <v>45937</v>
      </c>
      <c r="D5" s="2">
        <v>45952</v>
      </c>
      <c r="E5">
        <v>15</v>
      </c>
      <c r="F5">
        <v>0.7</v>
      </c>
      <c r="G5">
        <v>8.9999999999999993E-3</v>
      </c>
      <c r="H5" s="3">
        <f t="shared" si="0"/>
        <v>0.69099999999999995</v>
      </c>
      <c r="I5" s="3">
        <f t="shared" si="1"/>
        <v>98.714285714285708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Wellington da Silva Lima</cp:lastModifiedBy>
  <dcterms:created xsi:type="dcterms:W3CDTF">2025-11-05T11:55:31Z</dcterms:created>
  <dcterms:modified xsi:type="dcterms:W3CDTF">2025-11-05T17:14:37Z</dcterms:modified>
</cp:coreProperties>
</file>